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odo Cerrado" sheetId="1" r:id="rId5"/>
  </sheets>
  <definedNames/>
  <calcPr/>
</workbook>
</file>

<file path=xl/sharedStrings.xml><?xml version="1.0" encoding="utf-8"?>
<sst xmlns="http://schemas.openxmlformats.org/spreadsheetml/2006/main" count="72" uniqueCount="39">
  <si>
    <t>Método Cerrado de redistribuição entre tipos de ativos para manutenção do risco de cada tipo/setor</t>
  </si>
  <si>
    <t>VALOR TOTAL EM CARTEIRA</t>
  </si>
  <si>
    <t>VALOR EM CAIXA</t>
  </si>
  <si>
    <t>SOMA DAS PROPORÇÕES</t>
  </si>
  <si>
    <t>Valor Renda Fixa</t>
  </si>
  <si>
    <t>Atual</t>
  </si>
  <si>
    <t>Limite</t>
  </si>
  <si>
    <t>Aporte</t>
  </si>
  <si>
    <t>Aporte (Feito)</t>
  </si>
  <si>
    <t>%</t>
  </si>
  <si>
    <t>Tipo</t>
  </si>
  <si>
    <t>Saldo</t>
  </si>
  <si>
    <t>Pós Fixado (IPCA)</t>
  </si>
  <si>
    <t>Pós Fixado (CDI)</t>
  </si>
  <si>
    <t>Pré Fixado</t>
  </si>
  <si>
    <t>Reserva</t>
  </si>
  <si>
    <t>Bancos</t>
  </si>
  <si>
    <t>Valor Ações</t>
  </si>
  <si>
    <t>Seguros</t>
  </si>
  <si>
    <t>Energia</t>
  </si>
  <si>
    <t>Aviação</t>
  </si>
  <si>
    <t>Celulose</t>
  </si>
  <si>
    <t>Varejo</t>
  </si>
  <si>
    <t>Petróleo</t>
  </si>
  <si>
    <t>Saneamento</t>
  </si>
  <si>
    <t>Agricultura</t>
  </si>
  <si>
    <t>Valor FIIs</t>
  </si>
  <si>
    <t>Equipamentos</t>
  </si>
  <si>
    <t>Saúde</t>
  </si>
  <si>
    <t>Logístico</t>
  </si>
  <si>
    <t>Híbrido</t>
  </si>
  <si>
    <t>Shopping</t>
  </si>
  <si>
    <t>Outros</t>
  </si>
  <si>
    <t>Valor Mercado Internacional</t>
  </si>
  <si>
    <t>Estados Unidos</t>
  </si>
  <si>
    <t>Desenvolvidos</t>
  </si>
  <si>
    <t>Emergentes</t>
  </si>
  <si>
    <t>Ouro</t>
  </si>
  <si>
    <t>Bitcoin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</si>
</sst>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2.0"/>
      <color theme="1"/>
      <name val="Bell MT"/>
    </font>
    <font>
      <b/>
      <i/>
      <sz val="14.0"/>
      <color theme="1"/>
      <name val="Bell MT"/>
    </font>
    <font/>
    <font>
      <b/>
      <sz val="12.0"/>
      <color theme="1"/>
      <name val="Bell MT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7" fillId="2" fontId="1" numFmtId="0" xfId="0" applyBorder="1" applyFill="1" applyFont="1"/>
    <xf borderId="0" fillId="2" fontId="1" numFmtId="0" xfId="0" applyFont="1"/>
    <xf borderId="8" fillId="2" fontId="1" numFmtId="0" xfId="0" applyBorder="1" applyFont="1"/>
    <xf borderId="9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1"/>
    </xf>
    <xf borderId="10" fillId="2" fontId="4" numFmtId="164" xfId="0" applyAlignment="1" applyBorder="1" applyFont="1" applyNumberForma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2" fillId="0" fontId="3" numFmtId="0" xfId="0" applyBorder="1" applyFont="1"/>
    <xf borderId="10" fillId="2" fontId="1" numFmtId="164" xfId="0" applyAlignment="1" applyBorder="1" applyFont="1" applyNumberFormat="1">
      <alignment horizontal="center" readingOrder="0" vertical="center"/>
    </xf>
    <xf borderId="10" fillId="2" fontId="1" numFmtId="10" xfId="0" applyAlignment="1" applyBorder="1" applyFont="1" applyNumberFormat="1">
      <alignment horizontal="center" readingOrder="0" vertical="center"/>
    </xf>
    <xf borderId="10" fillId="2" fontId="1" numFmtId="9" xfId="0" applyAlignment="1" applyBorder="1" applyFont="1" applyNumberFormat="1">
      <alignment horizontal="center" readingOrder="0" vertical="center"/>
    </xf>
    <xf borderId="11" fillId="2" fontId="1" numFmtId="164" xfId="0" applyAlignment="1" applyBorder="1" applyFont="1" applyNumberFormat="1">
      <alignment horizontal="center" readingOrder="0" vertical="center"/>
    </xf>
    <xf borderId="10" fillId="0" fontId="1" numFmtId="10" xfId="0" applyAlignment="1" applyBorder="1" applyFont="1" applyNumberFormat="1">
      <alignment horizontal="center" readingOrder="0" vertical="center"/>
    </xf>
    <xf borderId="9" fillId="0" fontId="1" numFmtId="10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164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2" fillId="2" fontId="1" numFmtId="0" xfId="0" applyBorder="1" applyFont="1"/>
    <xf borderId="13" fillId="2" fontId="1" numFmtId="0" xfId="0" applyBorder="1" applyFont="1"/>
    <xf borderId="14" fillId="2" fontId="1" numFmtId="0" xfId="0" applyAlignment="1" applyBorder="1" applyFont="1">
      <alignment horizontal="center" readingOrder="0" vertical="center"/>
    </xf>
    <xf borderId="14" fillId="2" fontId="1" numFmtId="164" xfId="0" applyAlignment="1" applyBorder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vertical="center"/>
    </xf>
    <xf borderId="8" fillId="2" fontId="1" numFmtId="164" xfId="0" applyAlignment="1" applyBorder="1" applyFont="1" applyNumberFormat="1">
      <alignment horizontal="center" vertical="center"/>
    </xf>
    <xf borderId="7" fillId="3" fontId="1" numFmtId="0" xfId="0" applyBorder="1" applyFill="1" applyFont="1"/>
    <xf borderId="0" fillId="3" fontId="1" numFmtId="0" xfId="0" applyFont="1"/>
    <xf borderId="8" fillId="3" fontId="1" numFmtId="0" xfId="0" applyBorder="1" applyFont="1"/>
    <xf borderId="10" fillId="3" fontId="4" numFmtId="164" xfId="0" applyAlignment="1" applyBorder="1" applyFont="1" applyNumberFormat="1">
      <alignment horizontal="center" readingOrder="0" vertical="center"/>
    </xf>
    <xf borderId="11" fillId="3" fontId="4" numFmtId="0" xfId="0" applyAlignment="1" applyBorder="1" applyFont="1">
      <alignment horizontal="center" readingOrder="0" vertical="center"/>
    </xf>
    <xf borderId="10" fillId="3" fontId="1" numFmtId="0" xfId="0" applyAlignment="1" applyBorder="1" applyFont="1">
      <alignment horizontal="center" readingOrder="0" vertical="center"/>
    </xf>
    <xf borderId="10" fillId="3" fontId="1" numFmtId="164" xfId="0" applyAlignment="1" applyBorder="1" applyFont="1" applyNumberFormat="1">
      <alignment horizontal="center" readingOrder="0" vertical="center"/>
    </xf>
    <xf borderId="10" fillId="3" fontId="1" numFmtId="10" xfId="0" applyAlignment="1" applyBorder="1" applyFont="1" applyNumberFormat="1">
      <alignment horizontal="center" readingOrder="0" vertical="center"/>
    </xf>
    <xf borderId="10" fillId="3" fontId="1" numFmtId="9" xfId="0" applyAlignment="1" applyBorder="1" applyFont="1" applyNumberFormat="1">
      <alignment horizontal="center" readingOrder="0" vertical="center"/>
    </xf>
    <xf borderId="10" fillId="3" fontId="1" numFmtId="164" xfId="0" applyAlignment="1" applyBorder="1" applyFont="1" applyNumberFormat="1">
      <alignment horizontal="center" vertical="center"/>
    </xf>
    <xf borderId="13" fillId="3" fontId="1" numFmtId="0" xfId="0" applyBorder="1" applyFont="1"/>
    <xf borderId="14" fillId="3" fontId="1" numFmtId="0" xfId="0" applyAlignment="1" applyBorder="1" applyFont="1">
      <alignment horizontal="center" readingOrder="0" vertical="center"/>
    </xf>
    <xf borderId="14" fillId="3" fontId="1" numFmtId="164" xfId="0" applyAlignment="1" applyBorder="1" applyFont="1" applyNumberFormat="1">
      <alignment horizontal="center" readingOrder="0" vertical="center"/>
    </xf>
    <xf borderId="7" fillId="4" fontId="1" numFmtId="0" xfId="0" applyBorder="1" applyFill="1" applyFont="1"/>
    <xf borderId="0" fillId="4" fontId="1" numFmtId="0" xfId="0" applyFont="1"/>
    <xf borderId="8" fillId="4" fontId="1" numFmtId="0" xfId="0" applyBorder="1" applyFont="1"/>
    <xf borderId="8" fillId="0" fontId="5" numFmtId="0" xfId="0" applyBorder="1" applyFont="1"/>
    <xf borderId="10" fillId="4" fontId="4" numFmtId="164" xfId="0" applyAlignment="1" applyBorder="1" applyFont="1" applyNumberFormat="1">
      <alignment horizontal="center" readingOrder="0" vertical="center"/>
    </xf>
    <xf borderId="11" fillId="4" fontId="4" numFmtId="0" xfId="0" applyAlignment="1" applyBorder="1" applyFont="1">
      <alignment horizontal="center" readingOrder="0" vertical="center"/>
    </xf>
    <xf borderId="13" fillId="4" fontId="1" numFmtId="0" xfId="0" applyBorder="1" applyFont="1"/>
    <xf borderId="14" fillId="4" fontId="1" numFmtId="0" xfId="0" applyAlignment="1" applyBorder="1" applyFont="1">
      <alignment horizontal="center" readingOrder="0" vertical="center"/>
    </xf>
    <xf borderId="10" fillId="4" fontId="1" numFmtId="164" xfId="0" applyAlignment="1" applyBorder="1" applyFont="1" applyNumberFormat="1">
      <alignment horizontal="center" readingOrder="0" vertical="center"/>
    </xf>
    <xf borderId="10" fillId="4" fontId="1" numFmtId="10" xfId="0" applyAlignment="1" applyBorder="1" applyFont="1" applyNumberFormat="1">
      <alignment horizontal="center" readingOrder="0" vertical="center"/>
    </xf>
    <xf borderId="10" fillId="4" fontId="1" numFmtId="9" xfId="0" applyAlignment="1" applyBorder="1" applyFont="1" applyNumberFormat="1">
      <alignment horizontal="center" readingOrder="0" vertical="center"/>
    </xf>
    <xf borderId="10" fillId="4" fontId="1" numFmtId="164" xfId="0" applyAlignment="1" applyBorder="1" applyFont="1" applyNumberFormat="1">
      <alignment horizontal="center" vertical="center"/>
    </xf>
    <xf borderId="10" fillId="4" fontId="1" numFmtId="0" xfId="0" applyAlignment="1" applyBorder="1" applyFont="1">
      <alignment horizontal="center" readingOrder="0" vertical="center"/>
    </xf>
    <xf borderId="14" fillId="4" fontId="1" numFmtId="164" xfId="0" applyAlignment="1" applyBorder="1" applyFont="1" applyNumberFormat="1">
      <alignment horizontal="center" readingOrder="0" vertical="center"/>
    </xf>
    <xf borderId="7" fillId="5" fontId="1" numFmtId="0" xfId="0" applyBorder="1" applyFill="1" applyFont="1"/>
    <xf borderId="0" fillId="5" fontId="1" numFmtId="0" xfId="0" applyFont="1"/>
    <xf borderId="8" fillId="5" fontId="1" numFmtId="0" xfId="0" applyBorder="1" applyFont="1"/>
    <xf borderId="10" fillId="5" fontId="4" numFmtId="164" xfId="0" applyAlignment="1" applyBorder="1" applyFont="1" applyNumberFormat="1">
      <alignment horizontal="center" readingOrder="0" vertical="center"/>
    </xf>
    <xf borderId="11" fillId="5" fontId="4" numFmtId="0" xfId="0" applyAlignment="1" applyBorder="1" applyFont="1">
      <alignment horizontal="center" readingOrder="0" vertical="center"/>
    </xf>
    <xf borderId="10" fillId="5" fontId="1" numFmtId="0" xfId="0" applyAlignment="1" applyBorder="1" applyFont="1">
      <alignment horizontal="center" readingOrder="0" vertical="center"/>
    </xf>
    <xf borderId="10" fillId="5" fontId="1" numFmtId="164" xfId="0" applyAlignment="1" applyBorder="1" applyFont="1" applyNumberFormat="1">
      <alignment horizontal="center" readingOrder="0" vertical="center"/>
    </xf>
    <xf borderId="10" fillId="5" fontId="1" numFmtId="10" xfId="0" applyAlignment="1" applyBorder="1" applyFont="1" applyNumberFormat="1">
      <alignment horizontal="center" readingOrder="0" vertical="center"/>
    </xf>
    <xf borderId="10" fillId="5" fontId="1" numFmtId="9" xfId="0" applyAlignment="1" applyBorder="1" applyFont="1" applyNumberFormat="1">
      <alignment horizontal="center" readingOrder="0" vertical="center"/>
    </xf>
    <xf borderId="10" fillId="5" fontId="1" numFmtId="164" xfId="0" applyAlignment="1" applyBorder="1" applyFont="1" applyNumberFormat="1">
      <alignment horizontal="center" vertical="center"/>
    </xf>
    <xf borderId="13" fillId="5" fontId="6" numFmtId="0" xfId="0" applyAlignment="1" applyBorder="1" applyFont="1">
      <alignment vertical="bottom"/>
    </xf>
    <xf borderId="14" fillId="5" fontId="1" numFmtId="0" xfId="0" applyAlignment="1" applyBorder="1" applyFont="1">
      <alignment horizontal="center" readingOrder="0" vertical="center"/>
    </xf>
    <xf borderId="14" fillId="5" fontId="1" numFmtId="164" xfId="0" applyAlignment="1" applyBorder="1" applyFont="1" applyNumberFormat="1">
      <alignment horizontal="center" readingOrder="0" vertical="center"/>
    </xf>
    <xf borderId="4" fillId="5" fontId="1" numFmtId="0" xfId="0" applyBorder="1" applyFont="1"/>
    <xf borderId="5" fillId="5" fontId="1" numFmtId="0" xfId="0" applyBorder="1" applyFont="1"/>
    <xf borderId="6" fillId="5" fontId="6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5.38"/>
    <col customWidth="1" min="6" max="6" width="28.38"/>
    <col customWidth="1" min="7" max="8" width="6.38"/>
    <col customWidth="1" min="9" max="11" width="15.38"/>
    <col customWidth="1" min="12" max="12" width="18.25"/>
    <col customWidth="1" min="13" max="13" width="16.38"/>
    <col customWidth="1" min="14" max="14" width="12.75"/>
    <col customWidth="1" min="15" max="26" width="1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3"/>
      <c r="D4" s="3"/>
      <c r="E4" s="3"/>
      <c r="F4" s="8" t="s">
        <v>2</v>
      </c>
      <c r="G4" s="3"/>
      <c r="H4" s="3"/>
      <c r="I4" s="3"/>
      <c r="J4" s="4"/>
      <c r="L4" s="9" t="s">
        <v>3</v>
      </c>
      <c r="M4" s="3"/>
      <c r="N4" s="3"/>
      <c r="O4" s="3"/>
      <c r="P4" s="3"/>
      <c r="Q4" s="4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/>
      <c r="F5" s="5"/>
      <c r="G5" s="6"/>
      <c r="H5" s="6"/>
      <c r="I5" s="6"/>
      <c r="J5" s="7"/>
      <c r="L5" s="5"/>
      <c r="M5" s="6"/>
      <c r="N5" s="6"/>
      <c r="O5" s="6"/>
      <c r="P5" s="6"/>
      <c r="Q5" s="7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>
        <f>SUM(B12,B20,B28,B36)</f>
        <v>105237.6</v>
      </c>
      <c r="C6" s="3"/>
      <c r="D6" s="3"/>
      <c r="E6" s="3"/>
      <c r="F6" s="11">
        <v>1271.71</v>
      </c>
      <c r="G6" s="3"/>
      <c r="H6" s="3"/>
      <c r="I6" s="3"/>
      <c r="J6" s="4"/>
      <c r="L6" s="12">
        <f>SUM(ABS(J12)+ABS(J20)+ABS(J28)+ABS(J36))</f>
        <v>0.05838046478</v>
      </c>
      <c r="M6" s="3"/>
      <c r="N6" s="3"/>
      <c r="O6" s="3"/>
      <c r="P6" s="3"/>
      <c r="Q6" s="4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/>
      <c r="C7" s="6"/>
      <c r="D7" s="6"/>
      <c r="E7" s="6"/>
      <c r="F7" s="5"/>
      <c r="G7" s="6"/>
      <c r="H7" s="6"/>
      <c r="I7" s="6"/>
      <c r="J7" s="7"/>
      <c r="L7" s="5"/>
      <c r="M7" s="6"/>
      <c r="N7" s="6"/>
      <c r="O7" s="6"/>
      <c r="P7" s="6"/>
      <c r="Q7" s="7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/>
      <c r="C8" s="14"/>
      <c r="D8" s="14"/>
      <c r="E8" s="14"/>
      <c r="F8" s="14"/>
      <c r="G8" s="14"/>
      <c r="H8" s="14"/>
      <c r="I8" s="14"/>
      <c r="J8" s="15"/>
      <c r="L8" s="1"/>
      <c r="M8" s="1"/>
      <c r="N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/>
      <c r="C9" s="14"/>
      <c r="D9" s="14"/>
      <c r="E9" s="14"/>
      <c r="F9" s="14"/>
      <c r="G9" s="14"/>
      <c r="H9" s="14"/>
      <c r="I9" s="14"/>
      <c r="J9" s="15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4</v>
      </c>
      <c r="C10" s="3"/>
      <c r="D10" s="16" t="s">
        <v>5</v>
      </c>
      <c r="E10" s="16" t="s">
        <v>6</v>
      </c>
      <c r="F10" s="16" t="s">
        <v>7</v>
      </c>
      <c r="G10" s="14"/>
      <c r="H10" s="9" t="s">
        <v>8</v>
      </c>
      <c r="I10" s="4"/>
      <c r="J10" s="17" t="s">
        <v>9</v>
      </c>
      <c r="L10" s="18" t="s">
        <v>10</v>
      </c>
      <c r="M10" s="18" t="s">
        <v>11</v>
      </c>
      <c r="N10" s="18" t="s">
        <v>5</v>
      </c>
      <c r="O10" s="18" t="s">
        <v>6</v>
      </c>
      <c r="P10" s="19" t="s">
        <v>7</v>
      </c>
      <c r="Q10" s="20">
        <f>ABS(Q11)+ABS(Q12)+ABS(Q13)+ABS(Q14)</f>
        <v>0.3344258054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/>
      <c r="C11" s="6"/>
      <c r="D11" s="21"/>
      <c r="E11" s="21"/>
      <c r="F11" s="21"/>
      <c r="G11" s="14"/>
      <c r="H11" s="5"/>
      <c r="I11" s="7"/>
      <c r="J11" s="21"/>
      <c r="L11" s="22" t="s">
        <v>12</v>
      </c>
      <c r="M11" s="22">
        <v>9423.33</v>
      </c>
      <c r="N11" s="23">
        <f>M11/B12</f>
        <v>0.3074428716</v>
      </c>
      <c r="O11" s="24">
        <v>0.25</v>
      </c>
      <c r="P11" s="25">
        <f>IF((($F$12*Q11)/Q10)&lt;0,0,($F$12*Q11)/Q10)</f>
        <v>0</v>
      </c>
      <c r="Q11" s="26">
        <f t="shared" ref="Q11:Q14" si="1">(MAX(O11-N11))</f>
        <v>-0.05744287156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>
        <f>SUM(M11:M14)+H12</f>
        <v>30650.67</v>
      </c>
      <c r="C12" s="3"/>
      <c r="D12" s="27">
        <f>B12/B6</f>
        <v>0.291252081</v>
      </c>
      <c r="E12" s="27">
        <v>0.3</v>
      </c>
      <c r="F12" s="28">
        <f>($F$6*J12)/L6
</f>
        <v>190.5571685</v>
      </c>
      <c r="G12" s="14"/>
      <c r="H12" s="11">
        <v>0.0</v>
      </c>
      <c r="I12" s="4"/>
      <c r="J12" s="27">
        <f>(MAX(E12-D12))</f>
        <v>0.008747918995</v>
      </c>
      <c r="L12" s="22" t="s">
        <v>13</v>
      </c>
      <c r="M12" s="22">
        <v>2537.48</v>
      </c>
      <c r="N12" s="23">
        <f>M12/B12</f>
        <v>0.08278709731</v>
      </c>
      <c r="O12" s="24">
        <v>0.25</v>
      </c>
      <c r="P12" s="25">
        <f>IF((($F$12*Q12)/Q10)&lt;0,0,($F$12*Q12)/Q10)</f>
        <v>95.27858426</v>
      </c>
      <c r="Q12" s="26">
        <f t="shared" si="1"/>
        <v>0.1672129027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6"/>
      <c r="D13" s="21"/>
      <c r="E13" s="21"/>
      <c r="F13" s="21"/>
      <c r="G13" s="14"/>
      <c r="H13" s="5"/>
      <c r="I13" s="7"/>
      <c r="J13" s="21"/>
      <c r="L13" s="29" t="s">
        <v>14</v>
      </c>
      <c r="M13" s="22">
        <v>9745.17</v>
      </c>
      <c r="N13" s="23">
        <f>M13/B12</f>
        <v>0.3179431314</v>
      </c>
      <c r="O13" s="24">
        <v>0.25</v>
      </c>
      <c r="P13" s="30">
        <f>IF((($F$12*Q13)/Q10)&lt;0,0,($F$12*Q13)/Q10)</f>
        <v>0</v>
      </c>
      <c r="Q13" s="26">
        <f t="shared" si="1"/>
        <v>-0.06794313142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/>
      <c r="C14" s="14"/>
      <c r="D14" s="14"/>
      <c r="E14" s="14"/>
      <c r="F14" s="31"/>
      <c r="G14" s="14"/>
      <c r="H14" s="14"/>
      <c r="I14" s="14"/>
      <c r="J14" s="32"/>
      <c r="K14" s="33"/>
      <c r="L14" s="34" t="s">
        <v>15</v>
      </c>
      <c r="M14" s="35">
        <v>8944.69</v>
      </c>
      <c r="N14" s="23">
        <f>M14/B12</f>
        <v>0.2918268997</v>
      </c>
      <c r="O14" s="24">
        <v>0.25</v>
      </c>
      <c r="P14" s="30">
        <f>IF((($F$12*Q14)/Q10)&lt;0,0,($F$12*Q14)/Q10)</f>
        <v>0</v>
      </c>
      <c r="Q14" s="26">
        <f t="shared" si="1"/>
        <v>-0.04182689971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/>
      <c r="C15" s="14"/>
      <c r="D15" s="14"/>
      <c r="E15" s="14"/>
      <c r="F15" s="14"/>
      <c r="G15" s="36"/>
      <c r="H15" s="14"/>
      <c r="I15" s="14"/>
      <c r="J15" s="37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8"/>
      <c r="C16" s="39"/>
      <c r="D16" s="39"/>
      <c r="E16" s="39"/>
      <c r="F16" s="39"/>
      <c r="G16" s="39"/>
      <c r="H16" s="39"/>
      <c r="I16" s="39"/>
      <c r="J16" s="40"/>
      <c r="L16" s="41" t="s">
        <v>10</v>
      </c>
      <c r="M16" s="41" t="s">
        <v>11</v>
      </c>
      <c r="N16" s="41" t="s">
        <v>5</v>
      </c>
      <c r="O16" s="41" t="s">
        <v>6</v>
      </c>
      <c r="P16" s="42" t="s">
        <v>7</v>
      </c>
      <c r="Q16" s="20">
        <f>ABS(Q17)+ABS(Q18)+ABS(Q19)+ABS(Q20)+ABS(Q21)+ABS(Q22)+ABS(Q23)+ABS(Q24)+ABS(Q25)+ABS(Q26)</f>
        <v>0.1872505318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8"/>
      <c r="C17" s="39"/>
      <c r="D17" s="39"/>
      <c r="E17" s="39"/>
      <c r="F17" s="39"/>
      <c r="G17" s="39"/>
      <c r="H17" s="39"/>
      <c r="I17" s="39"/>
      <c r="J17" s="40"/>
      <c r="L17" s="43" t="s">
        <v>16</v>
      </c>
      <c r="M17" s="44">
        <v>6152.96</v>
      </c>
      <c r="N17" s="45">
        <f>M17/B20</f>
        <v>0.20998122</v>
      </c>
      <c r="O17" s="46">
        <v>0.2</v>
      </c>
      <c r="P17" s="47">
        <f>IF((($F$20*Q17)/Q16)&lt;0,0,($F$20*Q17)/Q16)</f>
        <v>0</v>
      </c>
      <c r="Q17" s="26">
        <f t="shared" ref="Q17:Q27" si="2">(MAX(O17-N17))</f>
        <v>-0.009981219988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17</v>
      </c>
      <c r="C18" s="3"/>
      <c r="D18" s="16" t="s">
        <v>5</v>
      </c>
      <c r="E18" s="16" t="s">
        <v>6</v>
      </c>
      <c r="F18" s="16" t="s">
        <v>7</v>
      </c>
      <c r="G18" s="39"/>
      <c r="H18" s="9" t="s">
        <v>8</v>
      </c>
      <c r="I18" s="4"/>
      <c r="J18" s="17" t="s">
        <v>9</v>
      </c>
      <c r="L18" s="43" t="s">
        <v>18</v>
      </c>
      <c r="M18" s="44">
        <v>4625.19</v>
      </c>
      <c r="N18" s="45">
        <f>M18/B20</f>
        <v>0.1578432232</v>
      </c>
      <c r="O18" s="46">
        <v>0.15</v>
      </c>
      <c r="P18" s="47">
        <f>IF((($F$20*Q18)/Q16)&lt;0,0,($F$20*Q18)/Q16)</f>
        <v>0</v>
      </c>
      <c r="Q18" s="26">
        <f t="shared" si="2"/>
        <v>-0.007843223241</v>
      </c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/>
      <c r="D19" s="21"/>
      <c r="E19" s="21"/>
      <c r="F19" s="21"/>
      <c r="G19" s="39"/>
      <c r="H19" s="5"/>
      <c r="I19" s="7"/>
      <c r="J19" s="21"/>
      <c r="L19" s="43" t="s">
        <v>19</v>
      </c>
      <c r="M19" s="44">
        <v>3620.42</v>
      </c>
      <c r="N19" s="45">
        <f>M19/B20</f>
        <v>0.1235535756</v>
      </c>
      <c r="O19" s="46">
        <v>0.15</v>
      </c>
      <c r="P19" s="47">
        <f>IF((($F$20*Q19)/Q16)&lt;0,0,($F$20*Q19)/Q16)</f>
        <v>0</v>
      </c>
      <c r="Q19" s="26">
        <f t="shared" si="2"/>
        <v>0.02644642441</v>
      </c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>
        <f>SUM(M17:M27)+H20</f>
        <v>29302.43</v>
      </c>
      <c r="C20" s="3"/>
      <c r="D20" s="27">
        <f>B20/B6</f>
        <v>0.2784406904</v>
      </c>
      <c r="E20" s="27">
        <v>0.25</v>
      </c>
      <c r="F20" s="28">
        <f>IF((($F$6*J20)/L6)&lt;0,0,(($F$6*J20)/L6)
)</f>
        <v>0</v>
      </c>
      <c r="G20" s="39"/>
      <c r="H20" s="11">
        <v>0.0</v>
      </c>
      <c r="I20" s="4"/>
      <c r="J20" s="27">
        <f>(MAX(E20-D20))</f>
        <v>-0.0284406904</v>
      </c>
      <c r="L20" s="43" t="s">
        <v>20</v>
      </c>
      <c r="M20" s="44">
        <v>1214.55</v>
      </c>
      <c r="N20" s="45">
        <f>M20/B20</f>
        <v>0.04144878087</v>
      </c>
      <c r="O20" s="46">
        <v>0.05</v>
      </c>
      <c r="P20" s="47">
        <f>IF((($F$20*Q20)/Q16)&lt;0,0,($F$20*Q20)/Q16)</f>
        <v>0</v>
      </c>
      <c r="Q20" s="26">
        <f t="shared" si="2"/>
        <v>0.008551219131</v>
      </c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6"/>
      <c r="D21" s="21"/>
      <c r="E21" s="21"/>
      <c r="F21" s="21"/>
      <c r="G21" s="39"/>
      <c r="H21" s="5"/>
      <c r="I21" s="7"/>
      <c r="J21" s="21"/>
      <c r="L21" s="43" t="s">
        <v>21</v>
      </c>
      <c r="M21" s="44">
        <v>1214.44</v>
      </c>
      <c r="N21" s="45">
        <f>M21/B20</f>
        <v>0.04144502691</v>
      </c>
      <c r="O21" s="46">
        <v>0.05</v>
      </c>
      <c r="P21" s="47">
        <f>IF((($F$20*Q21)/Q16)&lt;0,0,($F$20*Q21)/Q16)</f>
        <v>0</v>
      </c>
      <c r="Q21" s="26">
        <f t="shared" si="2"/>
        <v>0.008554973086</v>
      </c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8"/>
      <c r="C22" s="39"/>
      <c r="D22" s="39"/>
      <c r="E22" s="39"/>
      <c r="F22" s="39"/>
      <c r="G22" s="39"/>
      <c r="H22" s="39"/>
      <c r="I22" s="39"/>
      <c r="J22" s="39"/>
      <c r="K22" s="48"/>
      <c r="L22" s="49" t="s">
        <v>22</v>
      </c>
      <c r="M22" s="50">
        <v>1891.0</v>
      </c>
      <c r="N22" s="45">
        <f>M22/B20</f>
        <v>0.06453389702</v>
      </c>
      <c r="O22" s="46">
        <v>0.05</v>
      </c>
      <c r="P22" s="47">
        <f>IF((($F$20*Q22)/Q16)&lt;0,0,($F$20*Q22)/Q16)</f>
        <v>0</v>
      </c>
      <c r="Q22" s="26">
        <f t="shared" si="2"/>
        <v>-0.01453389702</v>
      </c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8"/>
      <c r="C23" s="39"/>
      <c r="D23" s="39"/>
      <c r="E23" s="39"/>
      <c r="F23" s="39"/>
      <c r="G23" s="39"/>
      <c r="H23" s="39"/>
      <c r="I23" s="39"/>
      <c r="J23" s="40"/>
      <c r="L23" s="43" t="s">
        <v>23</v>
      </c>
      <c r="M23" s="44">
        <v>2033.1</v>
      </c>
      <c r="N23" s="45">
        <f>M23/B20</f>
        <v>0.06938332418</v>
      </c>
      <c r="O23" s="46">
        <v>0.05</v>
      </c>
      <c r="P23" s="47">
        <f>IF((($F$20*Q23)/Q16)&lt;0,0,($F$20*Q23)/Q16)</f>
        <v>0</v>
      </c>
      <c r="Q23" s="26">
        <f t="shared" si="2"/>
        <v>-0.01938332418</v>
      </c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1"/>
      <c r="C24" s="52"/>
      <c r="D24" s="52"/>
      <c r="E24" s="52"/>
      <c r="F24" s="52"/>
      <c r="G24" s="52"/>
      <c r="H24" s="52"/>
      <c r="I24" s="52"/>
      <c r="J24" s="53"/>
      <c r="L24" s="43" t="s">
        <v>24</v>
      </c>
      <c r="M24" s="44">
        <v>2450.0</v>
      </c>
      <c r="N24" s="45">
        <f>M24/B20</f>
        <v>0.08361081316</v>
      </c>
      <c r="O24" s="46">
        <v>0.12</v>
      </c>
      <c r="P24" s="47">
        <f>IF((($F$20*Q24)/Q16)&lt;0,0,($F$20*Q24)/Q16)</f>
        <v>0</v>
      </c>
      <c r="Q24" s="26">
        <f t="shared" si="2"/>
        <v>0.03638918684</v>
      </c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1"/>
      <c r="C25" s="52"/>
      <c r="D25" s="52"/>
      <c r="E25" s="52"/>
      <c r="F25" s="52"/>
      <c r="G25" s="52"/>
      <c r="H25" s="52"/>
      <c r="I25" s="52"/>
      <c r="J25" s="53"/>
      <c r="L25" s="43" t="s">
        <v>25</v>
      </c>
      <c r="M25" s="44">
        <v>1440.66</v>
      </c>
      <c r="N25" s="45">
        <f>M25/B20</f>
        <v>0.04916520575</v>
      </c>
      <c r="O25" s="46">
        <v>0.05</v>
      </c>
      <c r="P25" s="47">
        <f>IF((($F$20*Q25)/Q16)&lt;0,0,($F$20*Q25)/Q16)</f>
        <v>0</v>
      </c>
      <c r="Q25" s="26">
        <f t="shared" si="2"/>
        <v>0.0008347942474</v>
      </c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26</v>
      </c>
      <c r="C26" s="3"/>
      <c r="D26" s="16" t="s">
        <v>5</v>
      </c>
      <c r="E26" s="16" t="s">
        <v>6</v>
      </c>
      <c r="F26" s="16" t="s">
        <v>7</v>
      </c>
      <c r="G26" s="52"/>
      <c r="H26" s="9" t="s">
        <v>8</v>
      </c>
      <c r="I26" s="4"/>
      <c r="J26" s="17" t="s">
        <v>9</v>
      </c>
      <c r="L26" s="43" t="s">
        <v>27</v>
      </c>
      <c r="M26" s="44">
        <v>3068.91</v>
      </c>
      <c r="N26" s="45">
        <f>M26/B20</f>
        <v>0.1047322696</v>
      </c>
      <c r="O26" s="46">
        <v>0.05</v>
      </c>
      <c r="P26" s="47">
        <f>IF((($F$20*Q26)/Q16)&lt;0,0,($F$20*Q26)/Q16)</f>
        <v>0</v>
      </c>
      <c r="Q26" s="26">
        <f t="shared" si="2"/>
        <v>-0.05473226964</v>
      </c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0"/>
      <c r="D27" s="21"/>
      <c r="E27" s="21"/>
      <c r="F27" s="21"/>
      <c r="G27" s="52"/>
      <c r="H27" s="5"/>
      <c r="I27" s="7"/>
      <c r="J27" s="21"/>
      <c r="L27" s="43" t="s">
        <v>28</v>
      </c>
      <c r="M27" s="44">
        <v>1591.2</v>
      </c>
      <c r="N27" s="45">
        <f>M27/B20</f>
        <v>0.05430266364</v>
      </c>
      <c r="O27" s="46">
        <v>0.08</v>
      </c>
      <c r="P27" s="47">
        <f>IF((($F$20*Q27)/Q16)&lt;0,0,($F$20*Q27)/Q16)</f>
        <v>0</v>
      </c>
      <c r="Q27" s="26">
        <f t="shared" si="2"/>
        <v>0.02569733636</v>
      </c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>
        <f>SUM(M30:M33)+H28</f>
        <v>26388.28</v>
      </c>
      <c r="C28" s="3"/>
      <c r="D28" s="27">
        <f>B28/B6</f>
        <v>0.250749542</v>
      </c>
      <c r="E28" s="27">
        <v>0.25</v>
      </c>
      <c r="F28" s="28">
        <f>IF((($F$6*J28)/L6)&lt;0,0,(($F$6*J28)/L6)
)</f>
        <v>0</v>
      </c>
      <c r="G28" s="52"/>
      <c r="H28" s="11">
        <v>0.0</v>
      </c>
      <c r="I28" s="4"/>
      <c r="J28" s="27">
        <f>(MAX(E28-D28))</f>
        <v>-0.0007495419888</v>
      </c>
      <c r="O28" s="54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6"/>
      <c r="D29" s="21"/>
      <c r="E29" s="21"/>
      <c r="F29" s="21"/>
      <c r="G29" s="52"/>
      <c r="H29" s="5"/>
      <c r="I29" s="7"/>
      <c r="J29" s="21"/>
      <c r="L29" s="55" t="s">
        <v>10</v>
      </c>
      <c r="M29" s="55" t="s">
        <v>11</v>
      </c>
      <c r="N29" s="55" t="s">
        <v>5</v>
      </c>
      <c r="O29" s="55" t="s">
        <v>6</v>
      </c>
      <c r="P29" s="56" t="s">
        <v>7</v>
      </c>
      <c r="Q29" s="20">
        <f>ABS(Q30)+ABS(Q31)+ABS(Q32)+ABS(Q33)</f>
        <v>0.6039481164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1"/>
      <c r="C30" s="52"/>
      <c r="D30" s="52"/>
      <c r="E30" s="52"/>
      <c r="F30" s="52"/>
      <c r="G30" s="52"/>
      <c r="H30" s="52"/>
      <c r="I30" s="52"/>
      <c r="J30" s="52"/>
      <c r="K30" s="57"/>
      <c r="L30" s="58" t="s">
        <v>29</v>
      </c>
      <c r="M30" s="59">
        <v>11761.76</v>
      </c>
      <c r="N30" s="60">
        <f>M30/B28</f>
        <v>0.4457190844</v>
      </c>
      <c r="O30" s="61">
        <v>0.3</v>
      </c>
      <c r="P30" s="62">
        <f>IF((($F$28*Q30)/Q29)&lt;0,0,($F$28*Q30)/Q29)</f>
        <v>0</v>
      </c>
      <c r="Q30" s="26">
        <f t="shared" ref="Q30:Q33" si="3">(MAX(O30-N30))</f>
        <v>-0.1457190844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1"/>
      <c r="C31" s="52"/>
      <c r="D31" s="52"/>
      <c r="E31" s="52"/>
      <c r="F31" s="52"/>
      <c r="G31" s="52"/>
      <c r="H31" s="52"/>
      <c r="I31" s="52"/>
      <c r="J31" s="53"/>
      <c r="L31" s="63" t="s">
        <v>30</v>
      </c>
      <c r="M31" s="64">
        <v>5489.7</v>
      </c>
      <c r="N31" s="60">
        <f>M31/B28</f>
        <v>0.208035537</v>
      </c>
      <c r="O31" s="61">
        <v>0.4</v>
      </c>
      <c r="P31" s="62">
        <f>IF((($F$28*Q31)/Q29)&lt;0,0,($F$28*Q31)/Q29)</f>
        <v>0</v>
      </c>
      <c r="Q31" s="26">
        <f t="shared" si="3"/>
        <v>0.191964463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65"/>
      <c r="C32" s="66"/>
      <c r="D32" s="66"/>
      <c r="E32" s="66"/>
      <c r="F32" s="66"/>
      <c r="G32" s="66"/>
      <c r="H32" s="66"/>
      <c r="I32" s="66"/>
      <c r="J32" s="67"/>
      <c r="L32" s="63" t="s">
        <v>31</v>
      </c>
      <c r="M32" s="59">
        <v>5013.52</v>
      </c>
      <c r="N32" s="60">
        <f>M32/B28</f>
        <v>0.1899904048</v>
      </c>
      <c r="O32" s="61">
        <v>0.3</v>
      </c>
      <c r="P32" s="62">
        <f>IF((($F$28*Q32)/Q29)&lt;0,0,($F$28*Q32)/Q29)</f>
        <v>0</v>
      </c>
      <c r="Q32" s="26">
        <f t="shared" si="3"/>
        <v>0.1100095952</v>
      </c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65"/>
      <c r="C33" s="66"/>
      <c r="D33" s="66"/>
      <c r="E33" s="66"/>
      <c r="F33" s="66"/>
      <c r="G33" s="66"/>
      <c r="H33" s="66"/>
      <c r="I33" s="66"/>
      <c r="J33" s="67"/>
      <c r="K33" s="1"/>
      <c r="L33" s="63" t="s">
        <v>32</v>
      </c>
      <c r="M33" s="59">
        <v>4123.3</v>
      </c>
      <c r="N33" s="60">
        <f>M33/B28</f>
        <v>0.1562549738</v>
      </c>
      <c r="O33" s="61">
        <v>0.0</v>
      </c>
      <c r="P33" s="62">
        <f>IF((($F$28*Q33)/Q29)&lt;0,0,($F$28*Q33)/Q29)</f>
        <v>0</v>
      </c>
      <c r="Q33" s="26">
        <f t="shared" si="3"/>
        <v>-0.1562549738</v>
      </c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8" t="s">
        <v>33</v>
      </c>
      <c r="C34" s="3"/>
      <c r="D34" s="16" t="s">
        <v>5</v>
      </c>
      <c r="E34" s="16" t="s">
        <v>6</v>
      </c>
      <c r="F34" s="16" t="s">
        <v>7</v>
      </c>
      <c r="G34" s="66"/>
      <c r="H34" s="9" t="s">
        <v>8</v>
      </c>
      <c r="I34" s="4"/>
      <c r="J34" s="17" t="s">
        <v>9</v>
      </c>
      <c r="O34" s="54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0"/>
      <c r="D35" s="21"/>
      <c r="E35" s="21"/>
      <c r="F35" s="21"/>
      <c r="G35" s="66"/>
      <c r="H35" s="5"/>
      <c r="I35" s="7"/>
      <c r="J35" s="21"/>
      <c r="L35" s="68" t="s">
        <v>10</v>
      </c>
      <c r="M35" s="68" t="s">
        <v>11</v>
      </c>
      <c r="N35" s="68" t="s">
        <v>5</v>
      </c>
      <c r="O35" s="68" t="s">
        <v>6</v>
      </c>
      <c r="P35" s="69" t="s">
        <v>7</v>
      </c>
      <c r="Q35" s="20">
        <f>(ABS(Q36)+ABS(Q37)+ABS(Q38)+ABS(Q39)+Abs(Q40))</f>
        <v>0.1975338983</v>
      </c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>
        <f>SUM(M36:M40)+H36</f>
        <v>18896.22</v>
      </c>
      <c r="C36" s="3"/>
      <c r="D36" s="27">
        <f>B36/B6</f>
        <v>0.1795576866</v>
      </c>
      <c r="E36" s="27">
        <v>0.2</v>
      </c>
      <c r="F36" s="28">
        <f>IF((($F$6*J36)/L6)&lt;0,0,(($F$6*J36)/L6)
)</f>
        <v>445.2978315</v>
      </c>
      <c r="G36" s="66"/>
      <c r="H36" s="11">
        <v>255.0</v>
      </c>
      <c r="I36" s="4"/>
      <c r="J36" s="27">
        <f>(MAX(E36-D36))</f>
        <v>0.02044231339</v>
      </c>
      <c r="L36" s="70" t="s">
        <v>34</v>
      </c>
      <c r="M36" s="71">
        <f>5594.95+255</f>
        <v>5849.95</v>
      </c>
      <c r="N36" s="72">
        <f>M36/B36</f>
        <v>0.3095830806</v>
      </c>
      <c r="O36" s="73">
        <v>0.35</v>
      </c>
      <c r="P36" s="74">
        <f>IF((($F$36*Q36)/Q35)&lt;0,0,($F$36*Q36)/Q35)</f>
        <v>91.11128116</v>
      </c>
      <c r="Q36" s="26">
        <f t="shared" ref="Q36:Q40" si="4">(MAX(O36-N36))</f>
        <v>0.04041691936</v>
      </c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/>
      <c r="C37" s="6"/>
      <c r="D37" s="21"/>
      <c r="E37" s="21"/>
      <c r="F37" s="21"/>
      <c r="G37" s="66"/>
      <c r="H37" s="5"/>
      <c r="I37" s="7"/>
      <c r="J37" s="21"/>
      <c r="L37" s="70" t="s">
        <v>35</v>
      </c>
      <c r="M37" s="71">
        <v>3493.96</v>
      </c>
      <c r="N37" s="72">
        <f>M37/B36</f>
        <v>0.184902589</v>
      </c>
      <c r="O37" s="73">
        <v>0.25</v>
      </c>
      <c r="P37" s="74">
        <f>IF((($F$36*Q37)/Q35)&lt;0,0,($F$36*Q37)/Q35)</f>
        <v>146.7481592</v>
      </c>
      <c r="Q37" s="26">
        <f t="shared" si="4"/>
        <v>0.06509741102</v>
      </c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65"/>
      <c r="C38" s="66"/>
      <c r="D38" s="66"/>
      <c r="E38" s="66"/>
      <c r="F38" s="66"/>
      <c r="G38" s="66"/>
      <c r="H38" s="66"/>
      <c r="I38" s="66"/>
      <c r="J38" s="66"/>
      <c r="K38" s="75"/>
      <c r="L38" s="76" t="s">
        <v>36</v>
      </c>
      <c r="M38" s="71">
        <v>3499.09</v>
      </c>
      <c r="N38" s="72">
        <f>M38/B36</f>
        <v>0.1851740719</v>
      </c>
      <c r="O38" s="73">
        <v>0.15</v>
      </c>
      <c r="P38" s="74">
        <f>IF((($F$36*Q38)/Q35)&lt;0,0,($F$36*Q38)/Q35)</f>
        <v>0</v>
      </c>
      <c r="Q38" s="26">
        <f t="shared" si="4"/>
        <v>-0.03517407185</v>
      </c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5"/>
      <c r="C39" s="66"/>
      <c r="D39" s="66"/>
      <c r="E39" s="66"/>
      <c r="F39" s="66"/>
      <c r="G39" s="66"/>
      <c r="H39" s="66"/>
      <c r="I39" s="66"/>
      <c r="J39" s="67"/>
      <c r="L39" s="70" t="s">
        <v>37</v>
      </c>
      <c r="M39" s="77">
        <v>4549.31</v>
      </c>
      <c r="N39" s="72">
        <f>M39/B36</f>
        <v>0.2407523833</v>
      </c>
      <c r="O39" s="73">
        <v>0.2</v>
      </c>
      <c r="P39" s="74">
        <f>IF((($F$36*Q39)/Q35)&lt;0,0,($F$36*Q39)/Q35)</f>
        <v>0</v>
      </c>
      <c r="Q39" s="26">
        <f t="shared" si="4"/>
        <v>-0.04075238328</v>
      </c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78"/>
      <c r="C40" s="79"/>
      <c r="D40" s="79"/>
      <c r="E40" s="79"/>
      <c r="F40" s="79"/>
      <c r="G40" s="79"/>
      <c r="H40" s="79"/>
      <c r="I40" s="79"/>
      <c r="J40" s="80"/>
      <c r="L40" s="70" t="s">
        <v>38</v>
      </c>
      <c r="M40" s="71">
        <v>1248.91</v>
      </c>
      <c r="N40" s="72">
        <f>M40/B36</f>
        <v>0.0660931128</v>
      </c>
      <c r="O40" s="73">
        <v>0.05</v>
      </c>
      <c r="P40" s="74">
        <f>IF((($F$36*Q40)/Q35)&lt;0,0,($F$36*Q40)/Q35)</f>
        <v>0</v>
      </c>
      <c r="Q40" s="26">
        <f t="shared" si="4"/>
        <v>-0.0160931128</v>
      </c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M41" s="1"/>
      <c r="N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L42" s="1"/>
      <c r="M42" s="1"/>
      <c r="N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5">
    <mergeCell ref="B2:Q3"/>
    <mergeCell ref="B4:E5"/>
    <mergeCell ref="F4:J5"/>
    <mergeCell ref="L4:Q5"/>
    <mergeCell ref="B6:E7"/>
    <mergeCell ref="F6:J7"/>
    <mergeCell ref="L6:Q7"/>
    <mergeCell ref="B10:C11"/>
    <mergeCell ref="D10:D11"/>
    <mergeCell ref="E10:E11"/>
    <mergeCell ref="F10:F11"/>
    <mergeCell ref="J10:J11"/>
    <mergeCell ref="B12:C13"/>
    <mergeCell ref="F12:F13"/>
    <mergeCell ref="J12:J13"/>
    <mergeCell ref="D12:D13"/>
    <mergeCell ref="E12:E13"/>
    <mergeCell ref="B18:C19"/>
    <mergeCell ref="D18:D19"/>
    <mergeCell ref="E18:E19"/>
    <mergeCell ref="F18:F19"/>
    <mergeCell ref="B20:C21"/>
    <mergeCell ref="F20:F21"/>
    <mergeCell ref="D20:D21"/>
    <mergeCell ref="E20:E21"/>
    <mergeCell ref="B26:C27"/>
    <mergeCell ref="D26:D27"/>
    <mergeCell ref="E26:E27"/>
    <mergeCell ref="F26:F27"/>
    <mergeCell ref="B28:C29"/>
    <mergeCell ref="F28:F29"/>
    <mergeCell ref="H26:I27"/>
    <mergeCell ref="H28:I29"/>
    <mergeCell ref="J28:J29"/>
    <mergeCell ref="H34:I35"/>
    <mergeCell ref="J34:J35"/>
    <mergeCell ref="H36:I37"/>
    <mergeCell ref="J36:J37"/>
    <mergeCell ref="H10:I11"/>
    <mergeCell ref="H12:I13"/>
    <mergeCell ref="H18:I19"/>
    <mergeCell ref="J18:J19"/>
    <mergeCell ref="H20:I21"/>
    <mergeCell ref="J20:J21"/>
    <mergeCell ref="J26:J27"/>
    <mergeCell ref="D36:D37"/>
    <mergeCell ref="E36:E37"/>
    <mergeCell ref="D28:D29"/>
    <mergeCell ref="E28:E29"/>
    <mergeCell ref="B34:C35"/>
    <mergeCell ref="D34:D35"/>
    <mergeCell ref="E34:E35"/>
    <mergeCell ref="F34:F35"/>
    <mergeCell ref="B36:C37"/>
    <mergeCell ref="F36:F37"/>
  </mergeCells>
  <conditionalFormatting sqref="N35:N40">
    <cfRule type="cellIs" dxfId="0" priority="1" operator="greaterThan">
      <formula>"N"</formula>
    </cfRule>
  </conditionalFormatting>
  <drawing r:id="rId1"/>
</worksheet>
</file>